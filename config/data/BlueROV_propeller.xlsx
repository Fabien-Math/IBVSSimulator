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<sst xmlns="http://schemas.openxmlformats.org/spreadsheetml/2006/main" count="6" uniqueCount="6">
  <si>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r</t>
  </si>
  <si>
    <t>p</t>
  </si>
  <si>
    <t>y</t>
  </si>
  <si>
    <t>x</t>
  </si>
  <si>
    <t>z</t>
  </si>
  <si>
    <t xml:space="preserve">TRUE VEALUE ACCORDING TO BLENDER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</si>
</sst>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sheetData>
    <row r="2" ht="14.25">
      <c r="B2" s="1" t="s">
        <v>0</v>
      </c>
      <c r="C2" s="1" t="s">
        <v>1</v>
      </c>
      <c r="D2" s="1" t="s">
        <v>2</v>
      </c>
      <c r="E2" s="1" t="s">
        <v>3</v>
      </c>
      <c r="F2" s="1" t="s">
        <v>2</v>
      </c>
      <c r="G2" s="1" t="s">
        <v>4</v>
      </c>
      <c r="J2" t="s">
        <v>3</v>
      </c>
      <c r="K2" t="s">
        <v>2</v>
      </c>
      <c r="L2" t="s">
        <v>4</v>
      </c>
      <c r="M2" t="s">
        <v>0</v>
      </c>
      <c r="N2" t="s">
        <v>1</v>
      </c>
      <c r="O2" t="s">
        <v>2</v>
      </c>
    </row>
    <row r="3" ht="14.25">
      <c r="B3">
        <v>1.5700000000000001</v>
      </c>
      <c r="C3">
        <v>0</v>
      </c>
      <c r="D3">
        <v>-0.52359999999999995</v>
      </c>
      <c r="E3">
        <v>0.13500000000000001</v>
      </c>
      <c r="F3">
        <v>0.104</v>
      </c>
      <c r="G3">
        <v>0.066000000000000003</v>
      </c>
      <c r="J3">
        <f t="shared" ref="J3:J4" si="0">COS(D3)</f>
        <v>0.86602479158293899</v>
      </c>
      <c r="K3">
        <f t="shared" ref="K3:K4" si="1">SIN(D3)</f>
        <v>-0.50000106036260283</v>
      </c>
      <c r="L3">
        <v>0</v>
      </c>
      <c r="M3">
        <f t="shared" ref="M3:M6" si="2">SIN(D3)*G3</f>
        <v>-0.03300006998393179</v>
      </c>
      <c r="N3" s="2">
        <f t="shared" ref="N3:N6" si="3">COS(E3)*G3</f>
        <v>0.065399487859500172</v>
      </c>
      <c r="O3">
        <f t="shared" ref="O3:O6" si="4">SIN(D3)*E3-COS(D3)*F3</f>
        <v>-0.15756672147357703</v>
      </c>
    </row>
    <row r="4" ht="14.25">
      <c r="B4">
        <v>1.5700000000000001</v>
      </c>
      <c r="C4">
        <v>0</v>
      </c>
      <c r="D4">
        <v>0.52359999999999995</v>
      </c>
      <c r="E4">
        <v>0.13500000000000001</v>
      </c>
      <c r="F4">
        <v>-0.104</v>
      </c>
      <c r="G4">
        <v>0.066000000000000003</v>
      </c>
      <c r="J4" s="1">
        <f t="shared" si="0"/>
        <v>0.86602479158293899</v>
      </c>
      <c r="K4">
        <f t="shared" si="1"/>
        <v>0.50000106036260283</v>
      </c>
      <c r="L4">
        <v>0</v>
      </c>
      <c r="M4">
        <f t="shared" si="2"/>
        <v>0.03300006998393179</v>
      </c>
      <c r="N4" s="2">
        <f t="shared" si="3"/>
        <v>0.065399487859500172</v>
      </c>
      <c r="O4">
        <f t="shared" si="4"/>
        <v>0.15756672147357703</v>
      </c>
    </row>
    <row r="5" ht="14.25">
      <c r="B5">
        <v>1.5700000000000001</v>
      </c>
      <c r="C5">
        <v>0</v>
      </c>
      <c r="D5">
        <v>0.57599999999999996</v>
      </c>
      <c r="E5">
        <v>-0.14399999999999999</v>
      </c>
      <c r="F5">
        <v>0.104</v>
      </c>
      <c r="G5">
        <v>0.066000000000000003</v>
      </c>
      <c r="J5" s="1">
        <f t="shared" ref="J5:J6" si="5">-COS(D5)</f>
        <v>-0.83864804812449345</v>
      </c>
      <c r="K5">
        <f t="shared" ref="K5:K9" si="6">-SIN(D5)</f>
        <v>-0.54467371092882511</v>
      </c>
      <c r="L5">
        <v>0</v>
      </c>
      <c r="M5">
        <f t="shared" si="2"/>
        <v>0.035948464921302457</v>
      </c>
      <c r="N5" s="2">
        <f t="shared" si="3"/>
        <v>0.065316893632657358</v>
      </c>
      <c r="O5">
        <f t="shared" si="4"/>
        <v>-0.16565241137869813</v>
      </c>
    </row>
    <row r="6" ht="14.25">
      <c r="B6">
        <v>1.5700000000000001</v>
      </c>
      <c r="C6">
        <v>0</v>
      </c>
      <c r="D6">
        <v>-0.57599999999999996</v>
      </c>
      <c r="E6">
        <v>-0.14399999999999999</v>
      </c>
      <c r="F6">
        <v>-0.104</v>
      </c>
      <c r="G6">
        <v>0.066000000000000003</v>
      </c>
      <c r="J6" s="1">
        <f t="shared" si="5"/>
        <v>-0.83864804812449345</v>
      </c>
      <c r="K6">
        <f t="shared" si="6"/>
        <v>0.54467371092882511</v>
      </c>
      <c r="L6">
        <v>0</v>
      </c>
      <c r="M6">
        <f t="shared" si="2"/>
        <v>-0.035948464921302457</v>
      </c>
      <c r="N6" s="2">
        <f t="shared" si="3"/>
        <v>0.065316893632657358</v>
      </c>
      <c r="O6">
        <f t="shared" si="4"/>
        <v>0.16565241137869813</v>
      </c>
    </row>
    <row r="7" ht="14.25">
      <c r="B7">
        <v>1.5700000000000001</v>
      </c>
      <c r="C7">
        <v>4.71</v>
      </c>
      <c r="D7">
        <v>0</v>
      </c>
      <c r="E7">
        <v>0.12</v>
      </c>
      <c r="F7">
        <v>0.218</v>
      </c>
      <c r="G7">
        <v>0.0030000000000000001</v>
      </c>
      <c r="J7" s="1">
        <v>0</v>
      </c>
      <c r="K7">
        <f t="shared" si="6"/>
        <v>0</v>
      </c>
      <c r="L7">
        <v>1</v>
      </c>
      <c r="M7">
        <f t="shared" ref="M7:M9" si="7">COS(D7)*E7</f>
        <v>0.12</v>
      </c>
      <c r="N7" s="2">
        <f t="shared" ref="N7:N9" si="8">COS(D7)*F7</f>
        <v>0.218</v>
      </c>
      <c r="O7">
        <v>0</v>
      </c>
    </row>
    <row r="8" ht="14.25">
      <c r="B8">
        <v>1.5700000000000001</v>
      </c>
      <c r="C8">
        <v>4.71</v>
      </c>
      <c r="D8">
        <v>0</v>
      </c>
      <c r="E8">
        <v>0.12</v>
      </c>
      <c r="F8">
        <v>-0.218</v>
      </c>
      <c r="G8">
        <v>0.0030000000000000001</v>
      </c>
      <c r="J8" s="1">
        <v>0</v>
      </c>
      <c r="K8">
        <f t="shared" si="6"/>
        <v>0</v>
      </c>
      <c r="L8">
        <v>1</v>
      </c>
      <c r="M8">
        <f t="shared" si="7"/>
        <v>0.12</v>
      </c>
      <c r="N8" s="2">
        <f t="shared" si="8"/>
        <v>-0.218</v>
      </c>
      <c r="O8">
        <v>0</v>
      </c>
    </row>
    <row r="9" ht="14.25">
      <c r="B9">
        <v>1.5700000000000001</v>
      </c>
      <c r="C9">
        <v>4.71</v>
      </c>
      <c r="D9">
        <v>0</v>
      </c>
      <c r="E9">
        <v>0.12</v>
      </c>
      <c r="F9">
        <v>0.218</v>
      </c>
      <c r="G9">
        <v>0.0030000000000000001</v>
      </c>
      <c r="J9" s="1">
        <v>0</v>
      </c>
      <c r="K9">
        <f t="shared" si="6"/>
        <v>0</v>
      </c>
      <c r="L9">
        <v>1</v>
      </c>
      <c r="M9">
        <f t="shared" si="7"/>
        <v>0.12</v>
      </c>
      <c r="N9" s="2">
        <f t="shared" si="8"/>
        <v>0.218</v>
      </c>
      <c r="O9">
        <v>0</v>
      </c>
    </row>
    <row r="10" ht="14.25">
      <c r="B10">
        <v>1.5700000000000001</v>
      </c>
      <c r="C10">
        <v>4.71</v>
      </c>
      <c r="D10">
        <v>0</v>
      </c>
      <c r="E10">
        <v>0.12</v>
      </c>
      <c r="F10">
        <v>-0.218</v>
      </c>
      <c r="G10">
        <v>0.0030000000000000001</v>
      </c>
      <c r="J10" s="1">
        <v>0</v>
      </c>
      <c r="K10">
        <f>-SIN(D10)</f>
        <v>0</v>
      </c>
      <c r="L10">
        <v>1</v>
      </c>
      <c r="M10">
        <f>COS(D10)*E10</f>
        <v>0.12</v>
      </c>
      <c r="N10" s="2">
        <f>COS(D10)*F10</f>
        <v>-0.218</v>
      </c>
      <c r="O10">
        <v>0</v>
      </c>
    </row>
    <row r="11" ht="14.25"/>
    <row r="12" ht="14.25">
      <c r="D12" s="2"/>
    </row>
    <row r="13" ht="14.25"/>
    <row r="14" ht="14.25">
      <c r="B14" t="s">
        <v>5</v>
      </c>
    </row>
    <row r="15" ht="14.25">
      <c r="B15">
        <v>1.5700000000000001</v>
      </c>
      <c r="C15">
        <v>0</v>
      </c>
      <c r="D15">
        <v>-0.52359999999999995</v>
      </c>
      <c r="E15">
        <v>0.13500000000000001</v>
      </c>
      <c r="F15">
        <v>0.106</v>
      </c>
      <c r="G15">
        <v>0.067000000000000004</v>
      </c>
      <c r="J15" s="2">
        <f>COS(D15)</f>
        <v>0.86602479158293899</v>
      </c>
      <c r="K15" s="2">
        <f>SIN(D15)</f>
        <v>-0.50000106036260283</v>
      </c>
      <c r="L15" s="2">
        <v>0</v>
      </c>
      <c r="M15" s="2">
        <f>SIN(D15)*G15</f>
        <v>-0.033500071044294394</v>
      </c>
      <c r="N15" s="2">
        <f>COS(E15)*G15</f>
        <v>0.06639038919070471</v>
      </c>
      <c r="O15" s="2">
        <f>SIN(D15)*E15-COS(D15)*F15</f>
        <v>-0.15929877105674292</v>
      </c>
    </row>
    <row r="16" ht="14.25">
      <c r="B16">
        <v>1.5700000000000001</v>
      </c>
      <c r="C16">
        <v>0</v>
      </c>
      <c r="D16">
        <v>0.52359999999999995</v>
      </c>
      <c r="E16">
        <v>0.13500000000000001</v>
      </c>
      <c r="F16">
        <v>-0.10100000000000001</v>
      </c>
      <c r="G16">
        <v>0.067000000000000004</v>
      </c>
      <c r="J16">
        <f>COS(D16)</f>
        <v>0.86602479158293899</v>
      </c>
      <c r="K16" s="2">
        <f>SIN(D16)</f>
        <v>0.50000106036260283</v>
      </c>
      <c r="L16" s="2">
        <v>0</v>
      </c>
      <c r="M16" s="2">
        <f>SIN(D16)*G16</f>
        <v>0.033500071044294394</v>
      </c>
      <c r="N16" s="2">
        <f>COS(E16)*G16</f>
        <v>0.06639038919070471</v>
      </c>
      <c r="O16" s="2">
        <f>SIN(D16)*E16-COS(D16)*F16</f>
        <v>0.15496864709882824</v>
      </c>
    </row>
    <row r="17" ht="14.25">
      <c r="B17">
        <v>1.5700000000000001</v>
      </c>
      <c r="C17">
        <v>0</v>
      </c>
      <c r="D17">
        <v>0.57599999999999996</v>
      </c>
      <c r="E17">
        <v>-0.14399999999999999</v>
      </c>
      <c r="F17">
        <v>0.106</v>
      </c>
      <c r="G17">
        <v>0.067000000000000004</v>
      </c>
      <c r="J17">
        <f>-COS(D17)</f>
        <v>-0.83864804812449345</v>
      </c>
      <c r="K17" s="2">
        <f>-SIN(D17)</f>
        <v>-0.54467371092882511</v>
      </c>
      <c r="L17" s="2">
        <v>0</v>
      </c>
      <c r="M17" s="2">
        <f>SIN(D17)*G17</f>
        <v>0.036493138632231283</v>
      </c>
      <c r="N17" s="2">
        <f>COS(E17)*G17</f>
        <v>0.066306543536182469</v>
      </c>
      <c r="O17" s="2">
        <f>SIN(D17)*E17-COS(D17)*F17</f>
        <v>-0.1673297074749471</v>
      </c>
    </row>
    <row r="18" ht="14.25">
      <c r="B18">
        <v>1.5700000000000001</v>
      </c>
      <c r="C18">
        <v>0</v>
      </c>
      <c r="D18">
        <v>-0.57599999999999996</v>
      </c>
      <c r="E18">
        <v>-0.14399999999999999</v>
      </c>
      <c r="F18">
        <v>-0.10199999999999999</v>
      </c>
      <c r="G18">
        <v>0.067000000000000004</v>
      </c>
      <c r="J18">
        <f>-COS(D18)</f>
        <v>-0.83864804812449345</v>
      </c>
      <c r="K18" s="2">
        <f>-SIN(D18)</f>
        <v>0.54467371092882511</v>
      </c>
      <c r="L18" s="2">
        <v>0</v>
      </c>
      <c r="M18" s="2">
        <f>SIN(D18)*G18</f>
        <v>-0.036493138632231283</v>
      </c>
      <c r="N18" s="2">
        <f>COS(E18)*G18</f>
        <v>0.066306543536182469</v>
      </c>
      <c r="O18" s="2">
        <f>SIN(D18)*E18-COS(D18)*F18</f>
        <v>0.16397511528244912</v>
      </c>
    </row>
    <row r="19" ht="14.25">
      <c r="B19">
        <v>1.5700000000000001</v>
      </c>
      <c r="C19">
        <v>4.71</v>
      </c>
      <c r="D19">
        <v>0</v>
      </c>
      <c r="E19">
        <v>0.123</v>
      </c>
      <c r="F19">
        <v>0.216</v>
      </c>
      <c r="G19">
        <v>0.0040000000000000001</v>
      </c>
      <c r="J19">
        <v>0</v>
      </c>
      <c r="K19" s="2">
        <f>-SIN(D19)</f>
        <v>0</v>
      </c>
      <c r="L19" s="2">
        <v>1</v>
      </c>
      <c r="M19" s="2">
        <f>COS(D19)*E19</f>
        <v>0.123</v>
      </c>
      <c r="N19" s="2">
        <f>COS(D19)*F19</f>
        <v>0.216</v>
      </c>
      <c r="O19" s="2">
        <v>0</v>
      </c>
    </row>
    <row r="20" ht="14.25">
      <c r="B20">
        <v>1.5700000000000001</v>
      </c>
      <c r="C20">
        <v>4.71</v>
      </c>
      <c r="D20">
        <v>0</v>
      </c>
      <c r="E20">
        <v>0.122</v>
      </c>
      <c r="F20">
        <v>-0.22</v>
      </c>
      <c r="G20">
        <v>0.002</v>
      </c>
      <c r="J20">
        <v>0</v>
      </c>
      <c r="K20" s="2">
        <f>-SIN(D20)</f>
        <v>0</v>
      </c>
      <c r="L20" s="2">
        <v>1</v>
      </c>
      <c r="M20" s="2">
        <f>COS(D20)*E20</f>
        <v>0.122</v>
      </c>
      <c r="N20" s="2">
        <f>COS(D20)*F20</f>
        <v>-0.22</v>
      </c>
      <c r="O20" s="2">
        <v>0</v>
      </c>
    </row>
    <row r="21" ht="14.25">
      <c r="B21">
        <v>1.5700000000000001</v>
      </c>
      <c r="C21">
        <v>4.71</v>
      </c>
      <c r="D21">
        <v>0</v>
      </c>
      <c r="E21">
        <v>-0.11700000000000001</v>
      </c>
      <c r="F21">
        <v>0.22</v>
      </c>
      <c r="G21">
        <v>0.0040000000000000001</v>
      </c>
      <c r="J21">
        <v>0</v>
      </c>
      <c r="K21" s="2">
        <f>-SIN(D21)</f>
        <v>0</v>
      </c>
      <c r="L21" s="2">
        <v>1</v>
      </c>
      <c r="M21" s="2">
        <f>COS(D21)*E21</f>
        <v>-0.11700000000000001</v>
      </c>
      <c r="N21" s="2">
        <f>COS(D21)*F21</f>
        <v>0.22</v>
      </c>
      <c r="O21" s="2">
        <v>0</v>
      </c>
    </row>
    <row r="22" ht="14.25">
      <c r="B22">
        <v>1.5700000000000001</v>
      </c>
      <c r="C22">
        <v>4.71</v>
      </c>
      <c r="D22">
        <v>0</v>
      </c>
      <c r="E22">
        <v>-0.11700000000000001</v>
      </c>
      <c r="F22">
        <v>-0.216</v>
      </c>
      <c r="G22">
        <v>0.002</v>
      </c>
      <c r="J22">
        <v>0</v>
      </c>
      <c r="K22" s="2">
        <f>-SIN(D22)</f>
        <v>0</v>
      </c>
      <c r="L22" s="2">
        <v>1</v>
      </c>
      <c r="M22" s="2">
        <f>COS(D22)*E22</f>
        <v>-0.11700000000000001</v>
      </c>
      <c r="N22" s="2">
        <f>COS(D22)*F22</f>
        <v>-0.216</v>
      </c>
      <c r="O22" s="2">
        <v>0</v>
      </c>
    </row>
    <row r="27" ht="14.25"/>
    <row r="28" ht="14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4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4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4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4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4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4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4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2025-07-17T13:02:01Z</dcterms:modified>
</cp:coreProperties>
</file>